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C:\Users\risin\Documents\MS\MWSU\Classes\Spring 2018\Simulation\Homework\"/>
    </mc:Choice>
  </mc:AlternateContent>
  <bookViews>
    <workbookView xWindow="0" yWindow="0" windowWidth="19200" windowHeight="6360" xr2:uid="{00000000-000D-0000-FFFF-FFFF00000000}"/>
  </bookViews>
  <sheets>
    <sheet name="One Trail" sheetId="1" r:id="rId1"/>
  </sheets>
  <functionGroups builtInGroupCount="19"/>
  <externalReferences>
    <externalReference r:id="rId2"/>
  </externalReferences>
  <definedNames>
    <definedName name="Seed1">'One Trail'!$I$13</definedName>
    <definedName name="Seed2">#REF!</definedName>
  </definedNames>
  <calcPr calcId="171027"/>
</workbook>
</file>

<file path=xl/calcChain.xml><?xml version="1.0" encoding="utf-8"?>
<calcChain xmlns="http://schemas.openxmlformats.org/spreadsheetml/2006/main">
  <c r="K20" i="1" l="1"/>
  <c r="K21" i="1" s="1"/>
  <c r="K22" i="1" s="1"/>
  <c r="K23" i="1" s="1"/>
  <c r="K24" i="1" s="1"/>
  <c r="K25" i="1" s="1"/>
  <c r="K26" i="1" s="1"/>
  <c r="K27" i="1" s="1"/>
  <c r="K28" i="1" s="1"/>
  <c r="Q10" i="1" s="1"/>
  <c r="H8" i="1"/>
  <c r="H9" i="1" s="1"/>
  <c r="N20" i="1"/>
  <c r="N38" i="1"/>
  <c r="N40" i="1"/>
  <c r="N22" i="1"/>
  <c r="N23" i="1"/>
  <c r="N47" i="1"/>
  <c r="N31" i="1"/>
  <c r="N41" i="1"/>
  <c r="N35" i="1"/>
  <c r="N19" i="1"/>
  <c r="N33" i="1"/>
  <c r="N29" i="1"/>
  <c r="N21" i="1"/>
  <c r="N43" i="1"/>
  <c r="N44" i="1"/>
  <c r="N34" i="1"/>
  <c r="N32" i="1"/>
  <c r="N42" i="1"/>
  <c r="N45" i="1"/>
  <c r="N39" i="1"/>
  <c r="N48" i="1"/>
  <c r="N24" i="1"/>
  <c r="N37" i="1"/>
  <c r="N46" i="1"/>
  <c r="N30" i="1"/>
  <c r="N25" i="1"/>
  <c r="N36" i="1"/>
  <c r="N28" i="1"/>
  <c r="N27" i="1"/>
  <c r="N26" i="1"/>
  <c r="Q9" i="1" l="1"/>
  <c r="O19" i="1"/>
  <c r="C31" i="1"/>
  <c r="C35" i="1"/>
  <c r="C34" i="1"/>
  <c r="C36" i="1"/>
  <c r="C32" i="1"/>
  <c r="C33" i="1"/>
  <c r="C30" i="1"/>
  <c r="C37" i="1"/>
  <c r="P19" i="1" l="1"/>
  <c r="O20" i="1"/>
  <c r="D8" i="1"/>
  <c r="D9" i="1" s="1"/>
  <c r="D10" i="1" s="1"/>
  <c r="D11" i="1" s="1"/>
  <c r="D12" i="1" s="1"/>
  <c r="C22" i="1"/>
  <c r="C18" i="1"/>
  <c r="C19" i="1"/>
  <c r="C29" i="1"/>
  <c r="C28" i="1"/>
  <c r="C20" i="1"/>
  <c r="C27" i="1"/>
  <c r="C25" i="1"/>
  <c r="C24" i="1"/>
  <c r="C23" i="1"/>
  <c r="C26" i="1"/>
  <c r="C21" i="1"/>
  <c r="O21" i="1" l="1"/>
  <c r="Q19" i="1"/>
  <c r="P20" i="1" s="1"/>
  <c r="R19" i="1"/>
  <c r="S19" i="1" s="1"/>
  <c r="D18" i="1"/>
  <c r="Q20" i="1" l="1"/>
  <c r="P21" i="1" s="1"/>
  <c r="R20" i="1"/>
  <c r="S20" i="1" s="1"/>
  <c r="O22" i="1"/>
  <c r="E18" i="1"/>
  <c r="F18" i="1" s="1"/>
  <c r="D19" i="1"/>
  <c r="R21" i="1" l="1"/>
  <c r="S21" i="1" s="1"/>
  <c r="Q21" i="1"/>
  <c r="P22" i="1" s="1"/>
  <c r="O23" i="1"/>
  <c r="G18" i="1"/>
  <c r="H18" i="1" s="1"/>
  <c r="E19" i="1"/>
  <c r="F19" i="1" s="1"/>
  <c r="D20" i="1"/>
  <c r="Q22" i="1" l="1"/>
  <c r="P23" i="1" s="1"/>
  <c r="R22" i="1"/>
  <c r="S22" i="1" s="1"/>
  <c r="O24" i="1"/>
  <c r="D21" i="1"/>
  <c r="G19" i="1"/>
  <c r="H19" i="1" s="1"/>
  <c r="E20" i="1"/>
  <c r="F20" i="1" s="1"/>
  <c r="Q23" i="1" l="1"/>
  <c r="P24" i="1" s="1"/>
  <c r="R23" i="1"/>
  <c r="S23" i="1" s="1"/>
  <c r="O25" i="1"/>
  <c r="G20" i="1"/>
  <c r="H20" i="1" s="1"/>
  <c r="D22" i="1"/>
  <c r="E21" i="1"/>
  <c r="F21" i="1" s="1"/>
  <c r="O26" i="1" l="1"/>
  <c r="Q24" i="1"/>
  <c r="P25" i="1" s="1"/>
  <c r="R24" i="1"/>
  <c r="S24" i="1" s="1"/>
  <c r="G21" i="1"/>
  <c r="H21" i="1" s="1"/>
  <c r="E22" i="1"/>
  <c r="F22" i="1" s="1"/>
  <c r="D23" i="1"/>
  <c r="R25" i="1" l="1"/>
  <c r="S25" i="1" s="1"/>
  <c r="Q25" i="1"/>
  <c r="P26" i="1" s="1"/>
  <c r="O27" i="1"/>
  <c r="D24" i="1"/>
  <c r="E23" i="1"/>
  <c r="F23" i="1" s="1"/>
  <c r="G22" i="1"/>
  <c r="H22" i="1" s="1"/>
  <c r="Q26" i="1" l="1"/>
  <c r="P27" i="1" s="1"/>
  <c r="R26" i="1"/>
  <c r="S26" i="1" s="1"/>
  <c r="O28" i="1"/>
  <c r="E24" i="1"/>
  <c r="F24" i="1" s="1"/>
  <c r="G23" i="1"/>
  <c r="H23" i="1" s="1"/>
  <c r="D25" i="1"/>
  <c r="Q27" i="1" l="1"/>
  <c r="P28" i="1" s="1"/>
  <c r="R27" i="1"/>
  <c r="S27" i="1" s="1"/>
  <c r="O29" i="1"/>
  <c r="D26" i="1"/>
  <c r="G24" i="1"/>
  <c r="H24" i="1" s="1"/>
  <c r="E25" i="1"/>
  <c r="F25" i="1" s="1"/>
  <c r="Q28" i="1" l="1"/>
  <c r="P29" i="1" s="1"/>
  <c r="R28" i="1"/>
  <c r="S28" i="1" s="1"/>
  <c r="O30" i="1"/>
  <c r="G25" i="1"/>
  <c r="H25" i="1" s="1"/>
  <c r="E26" i="1"/>
  <c r="F26" i="1" s="1"/>
  <c r="D27" i="1"/>
  <c r="R29" i="1" l="1"/>
  <c r="S29" i="1" s="1"/>
  <c r="Q29" i="1"/>
  <c r="P30" i="1" s="1"/>
  <c r="O31" i="1"/>
  <c r="E27" i="1"/>
  <c r="F27" i="1" s="1"/>
  <c r="G26" i="1"/>
  <c r="H26" i="1" s="1"/>
  <c r="D28" i="1"/>
  <c r="Q30" i="1" l="1"/>
  <c r="P31" i="1" s="1"/>
  <c r="R30" i="1"/>
  <c r="S30" i="1" s="1"/>
  <c r="O32" i="1"/>
  <c r="G27" i="1"/>
  <c r="H27" i="1" s="1"/>
  <c r="E28" i="1"/>
  <c r="F28" i="1" s="1"/>
  <c r="D29" i="1"/>
  <c r="Q31" i="1" l="1"/>
  <c r="P32" i="1" s="1"/>
  <c r="R31" i="1"/>
  <c r="S31" i="1" s="1"/>
  <c r="O33" i="1"/>
  <c r="D30" i="1"/>
  <c r="D31" i="1" s="1"/>
  <c r="G28" i="1"/>
  <c r="H28" i="1" s="1"/>
  <c r="E29" i="1"/>
  <c r="F29" i="1" s="1"/>
  <c r="Q32" i="1" l="1"/>
  <c r="P33" i="1" s="1"/>
  <c r="R32" i="1"/>
  <c r="S32" i="1" s="1"/>
  <c r="O34" i="1"/>
  <c r="E30" i="1"/>
  <c r="F30" i="1" s="1"/>
  <c r="E31" i="1" s="1"/>
  <c r="D32" i="1"/>
  <c r="G29" i="1"/>
  <c r="H29" i="1" s="1"/>
  <c r="R33" i="1" l="1"/>
  <c r="S33" i="1" s="1"/>
  <c r="Q33" i="1"/>
  <c r="P34" i="1" s="1"/>
  <c r="O35" i="1"/>
  <c r="G30" i="1"/>
  <c r="H30" i="1" s="1"/>
  <c r="F31" i="1"/>
  <c r="E32" i="1" s="1"/>
  <c r="G31" i="1"/>
  <c r="D33" i="1"/>
  <c r="R34" i="1" l="1"/>
  <c r="S34" i="1" s="1"/>
  <c r="Q34" i="1"/>
  <c r="P35" i="1" s="1"/>
  <c r="O36" i="1"/>
  <c r="H31" i="1"/>
  <c r="H32" i="1" s="1"/>
  <c r="H33" i="1" s="1"/>
  <c r="G32" i="1"/>
  <c r="F32" i="1"/>
  <c r="E33" i="1" s="1"/>
  <c r="D34" i="1"/>
  <c r="O37" i="1" l="1"/>
  <c r="Q35" i="1"/>
  <c r="P36" i="1" s="1"/>
  <c r="R35" i="1"/>
  <c r="S35" i="1" s="1"/>
  <c r="H34" i="1"/>
  <c r="F33" i="1"/>
  <c r="E34" i="1" s="1"/>
  <c r="G33" i="1"/>
  <c r="D35" i="1"/>
  <c r="O38" i="1" l="1"/>
  <c r="Q36" i="1"/>
  <c r="P37" i="1" s="1"/>
  <c r="R36" i="1"/>
  <c r="S36" i="1" s="1"/>
  <c r="H35" i="1"/>
  <c r="D36" i="1"/>
  <c r="F34" i="1"/>
  <c r="E35" i="1" s="1"/>
  <c r="G34" i="1"/>
  <c r="R37" i="1" l="1"/>
  <c r="S37" i="1" s="1"/>
  <c r="Q37" i="1"/>
  <c r="P38" i="1" s="1"/>
  <c r="O39" i="1"/>
  <c r="H36" i="1"/>
  <c r="F35" i="1"/>
  <c r="E36" i="1" s="1"/>
  <c r="G35" i="1"/>
  <c r="D37" i="1"/>
  <c r="O40" i="1" l="1"/>
  <c r="Q38" i="1"/>
  <c r="P39" i="1" s="1"/>
  <c r="R38" i="1"/>
  <c r="S38" i="1" s="1"/>
  <c r="Q5" i="1"/>
  <c r="Q6" i="1" s="1"/>
  <c r="H37" i="1"/>
  <c r="F36" i="1"/>
  <c r="E37" i="1" s="1"/>
  <c r="G36" i="1"/>
  <c r="Q39" i="1" l="1"/>
  <c r="P40" i="1" s="1"/>
  <c r="R39" i="1"/>
  <c r="S39" i="1" s="1"/>
  <c r="O41" i="1"/>
  <c r="F37" i="1"/>
  <c r="G37" i="1"/>
  <c r="Q40" i="1" l="1"/>
  <c r="P41" i="1" s="1"/>
  <c r="R40" i="1"/>
  <c r="S40" i="1" s="1"/>
  <c r="O42" i="1"/>
  <c r="R41" i="1" l="1"/>
  <c r="S41" i="1" s="1"/>
  <c r="Q41" i="1"/>
  <c r="P42" i="1" s="1"/>
  <c r="O43" i="1"/>
  <c r="Q42" i="1" l="1"/>
  <c r="P43" i="1" s="1"/>
  <c r="R42" i="1"/>
  <c r="S42" i="1" s="1"/>
  <c r="O44" i="1"/>
  <c r="O45" i="1" l="1"/>
  <c r="Q43" i="1"/>
  <c r="P44" i="1" s="1"/>
  <c r="R43" i="1"/>
  <c r="S43" i="1" s="1"/>
  <c r="Q44" i="1" l="1"/>
  <c r="P45" i="1" s="1"/>
  <c r="R44" i="1"/>
  <c r="S44" i="1" s="1"/>
  <c r="O46" i="1"/>
  <c r="R45" i="1" l="1"/>
  <c r="S45" i="1" s="1"/>
  <c r="Q45" i="1"/>
  <c r="P46" i="1" s="1"/>
  <c r="O47" i="1"/>
  <c r="Q46" i="1" l="1"/>
  <c r="P47" i="1" s="1"/>
  <c r="R46" i="1"/>
  <c r="S46" i="1" s="1"/>
  <c r="O48" i="1"/>
  <c r="Q13" i="1" s="1"/>
  <c r="Q47" i="1" l="1"/>
  <c r="P48" i="1" s="1"/>
  <c r="R47" i="1"/>
  <c r="S47" i="1" s="1"/>
  <c r="S48" i="1" l="1"/>
  <c r="Q14" i="1" s="1"/>
  <c r="Q48" i="1"/>
  <c r="R48" i="1"/>
</calcChain>
</file>

<file path=xl/sharedStrings.xml><?xml version="1.0" encoding="utf-8"?>
<sst xmlns="http://schemas.openxmlformats.org/spreadsheetml/2006/main" count="41" uniqueCount="22">
  <si>
    <t>Click the button, or hit the F9 key, to recalculate the spreadsheet and generate a new trial.</t>
  </si>
  <si>
    <t>Probability</t>
  </si>
  <si>
    <t>Cumulative
Probability</t>
  </si>
  <si>
    <t xml:space="preserve">Seed for Random Numbers </t>
  </si>
  <si>
    <t>You may change the Example by changing any of the values with a green background.</t>
  </si>
  <si>
    <t>Service Time</t>
  </si>
  <si>
    <t>The "Reset Seed &amp; Run" button sets the RN seed and generates a new trial using that seed.</t>
  </si>
  <si>
    <t>Simulation Table</t>
  </si>
  <si>
    <t>Interarival time</t>
  </si>
  <si>
    <t>Clock Time</t>
  </si>
  <si>
    <t>Start time</t>
  </si>
  <si>
    <t>End time</t>
  </si>
  <si>
    <t>Wait time</t>
  </si>
  <si>
    <t>Box</t>
  </si>
  <si>
    <t>Cumulative wait time</t>
  </si>
  <si>
    <t>No of boxes</t>
  </si>
  <si>
    <t>Exercise 2.8:  Average Transit time of Material A</t>
  </si>
  <si>
    <t>Clock time</t>
  </si>
  <si>
    <t xml:space="preserve">Average transit time </t>
  </si>
  <si>
    <t>For Material A</t>
  </si>
  <si>
    <t>For Material B</t>
  </si>
  <si>
    <t>For Material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</si>
</sst>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</fills>
  <borders count="23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/>
    <xf numFmtId="2" fontId="0" fillId="0" borderId="0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0" borderId="2" xfId="0" applyBorder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Border="1"/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/>
    <xf numFmtId="2" fontId="4" fillId="0" borderId="1" xfId="0" applyNumberFormat="1" applyFont="1" applyBorder="1" applyAlignment="1">
      <alignment horizontal="center" vertical="center" wrapText="1"/>
    </xf>
    <xf numFmtId="0" fontId="0" fillId="0" borderId="0" xfId="0" applyBorder="1" applyAlignment="1">
      <alignment horizontal="left"/>
    </xf>
    <xf numFmtId="0" fontId="0" fillId="2" borderId="6" xfId="0" applyFill="1" applyBorder="1" applyAlignment="1">
      <alignment horizontal="center"/>
    </xf>
    <xf numFmtId="0" fontId="4" fillId="2" borderId="4" xfId="0" applyFont="1" applyFill="1" applyBorder="1" applyAlignment="1">
      <alignment horizontal="center" vertical="center" wrapText="1"/>
    </xf>
    <xf numFmtId="2" fontId="4" fillId="2" borderId="0" xfId="0" applyNumberFormat="1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/>
    </xf>
    <xf numFmtId="0" fontId="0" fillId="0" borderId="4" xfId="0" applyBorder="1" applyAlignment="1"/>
    <xf numFmtId="0" fontId="0" fillId="0" borderId="0" xfId="0" applyAlignment="1"/>
    <xf numFmtId="2" fontId="4" fillId="0" borderId="0" xfId="0" applyNumberFormat="1" applyFont="1" applyBorder="1" applyAlignment="1">
      <alignment horizontal="center" vertical="center" wrapText="1"/>
    </xf>
    <xf numFmtId="0" fontId="0" fillId="0" borderId="0" xfId="0" applyBorder="1" applyAlignment="1"/>
    <xf numFmtId="2" fontId="4" fillId="2" borderId="8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1" fontId="0" fillId="0" borderId="0" xfId="0" applyNumberFormat="1" applyBorder="1" applyAlignment="1"/>
    <xf numFmtId="1" fontId="0" fillId="0" borderId="0" xfId="0" applyNumberFormat="1" applyAlignment="1"/>
    <xf numFmtId="1" fontId="0" fillId="0" borderId="1" xfId="0" applyNumberFormat="1" applyBorder="1" applyAlignment="1"/>
    <xf numFmtId="1" fontId="0" fillId="0" borderId="2" xfId="0" applyNumberFormat="1" applyBorder="1" applyAlignment="1"/>
    <xf numFmtId="0" fontId="4" fillId="0" borderId="0" xfId="0" applyFont="1"/>
    <xf numFmtId="0" fontId="0" fillId="0" borderId="19" xfId="0" applyBorder="1" applyAlignment="1"/>
    <xf numFmtId="1" fontId="0" fillId="0" borderId="17" xfId="0" applyNumberFormat="1" applyBorder="1" applyAlignment="1"/>
    <xf numFmtId="1" fontId="0" fillId="0" borderId="18" xfId="0" applyNumberFormat="1" applyBorder="1" applyAlignment="1"/>
    <xf numFmtId="1" fontId="0" fillId="0" borderId="11" xfId="0" applyNumberFormat="1" applyBorder="1" applyAlignment="1">
      <alignment horizontal="center"/>
    </xf>
    <xf numFmtId="0" fontId="1" fillId="0" borderId="20" xfId="0" applyFon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1" fillId="0" borderId="0" xfId="0" applyFont="1"/>
    <xf numFmtId="1" fontId="0" fillId="0" borderId="17" xfId="0" applyNumberFormat="1" applyBorder="1" applyAlignment="1">
      <alignment horizontal="center"/>
    </xf>
    <xf numFmtId="1" fontId="0" fillId="0" borderId="18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21" xfId="0" applyNumberFormat="1" applyBorder="1" applyAlignment="1">
      <alignment horizontal="center"/>
    </xf>
    <xf numFmtId="1" fontId="0" fillId="0" borderId="8" xfId="0" applyNumberFormat="1" applyBorder="1"/>
    <xf numFmtId="1" fontId="0" fillId="0" borderId="8" xfId="0" applyNumberFormat="1" applyBorder="1" applyAlignment="1"/>
    <xf numFmtId="1" fontId="0" fillId="0" borderId="21" xfId="0" applyNumberFormat="1" applyBorder="1" applyAlignment="1"/>
    <xf numFmtId="0" fontId="0" fillId="0" borderId="18" xfId="0" applyBorder="1" applyAlignment="1"/>
    <xf numFmtId="0" fontId="1" fillId="0" borderId="22" xfId="0" applyFont="1" applyBorder="1" applyAlignment="1">
      <alignment horizontal="center"/>
    </xf>
    <xf numFmtId="0" fontId="6" fillId="2" borderId="9" xfId="0" applyFont="1" applyFill="1" applyBorder="1" applyAlignment="1">
      <alignment horizontal="left" vertical="center" wrapText="1"/>
    </xf>
    <xf numFmtId="0" fontId="6" fillId="2" borderId="11" xfId="0" applyFont="1" applyFill="1" applyBorder="1" applyAlignment="1">
      <alignment horizontal="left" vertical="center" wrapText="1"/>
    </xf>
    <xf numFmtId="0" fontId="6" fillId="2" borderId="13" xfId="0" applyFont="1" applyFill="1" applyBorder="1" applyAlignment="1">
      <alignment horizontal="left" vertical="center" wrapText="1"/>
    </xf>
    <xf numFmtId="0" fontId="6" fillId="2" borderId="4" xfId="0" applyFont="1" applyFill="1" applyBorder="1" applyAlignment="1">
      <alignment horizontal="left" vertical="center" wrapText="1"/>
    </xf>
    <xf numFmtId="0" fontId="6" fillId="2" borderId="0" xfId="0" applyFont="1" applyFill="1" applyBorder="1" applyAlignment="1">
      <alignment horizontal="left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6" fillId="2" borderId="3" xfId="0" applyFont="1" applyFill="1" applyBorder="1" applyAlignment="1">
      <alignment horizontal="left" vertical="center" wrapText="1"/>
    </xf>
    <xf numFmtId="0" fontId="6" fillId="2" borderId="8" xfId="0" applyFont="1" applyFill="1" applyBorder="1" applyAlignment="1">
      <alignment horizontal="left" vertical="center" wrapText="1"/>
    </xf>
    <xf numFmtId="0" fontId="6" fillId="2" borderId="2" xfId="0" applyFont="1" applyFill="1" applyBorder="1" applyAlignment="1">
      <alignment horizontal="left" vertical="center" wrapText="1"/>
    </xf>
    <xf numFmtId="0" fontId="1" fillId="0" borderId="15" xfId="0" applyFont="1" applyBorder="1" applyAlignment="1">
      <alignment horizontal="right"/>
    </xf>
    <xf numFmtId="0" fontId="1" fillId="0" borderId="16" xfId="0" applyFont="1" applyBorder="1" applyAlignment="1">
      <alignment horizontal="right"/>
    </xf>
    <xf numFmtId="0" fontId="1" fillId="0" borderId="6" xfId="0" applyFont="1" applyBorder="1" applyAlignment="1">
      <alignment horizontal="right"/>
    </xf>
    <xf numFmtId="0" fontId="1" fillId="0" borderId="1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9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/>
    </xf>
    <xf numFmtId="0" fontId="1" fillId="0" borderId="1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400050</xdr:colOff>
          <xdr:row>0</xdr:row>
          <xdr:rowOff>95250</xdr:rowOff>
        </xdr:from>
        <xdr:to>
          <xdr:col>12</xdr:col>
          <xdr:colOff>596900</xdr:colOff>
          <xdr:row>1</xdr:row>
          <xdr:rowOff>139700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New Trial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12</xdr:row>
          <xdr:rowOff>0</xdr:rowOff>
        </xdr:from>
        <xdr:to>
          <xdr:col>10</xdr:col>
          <xdr:colOff>349250</xdr:colOff>
          <xdr:row>13</xdr:row>
          <xdr:rowOff>76200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Seed &amp; 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CNNvba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iscreteUniform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V118"/>
  <sheetViews>
    <sheetView tabSelected="1" zoomScale="70" zoomScaleNormal="70" workbookViewId="0">
      <selection activeCell="I14" sqref="I14"/>
    </sheetView>
  </sheetViews>
  <sheetFormatPr defaultRowHeight="12.5" x14ac:dyDescent="0.25"/>
  <cols>
    <col min="1" max="1" width="2.1796875" customWidth="1"/>
    <col min="2" max="2" width="15.7265625" bestFit="1" customWidth="1"/>
    <col min="3" max="3" width="14.7265625" bestFit="1" customWidth="1"/>
    <col min="4" max="4" width="10.7265625" bestFit="1" customWidth="1"/>
    <col min="5" max="5" width="9.54296875" bestFit="1" customWidth="1"/>
    <col min="6" max="6" width="15.7265625" bestFit="1" customWidth="1"/>
    <col min="7" max="7" width="10.453125" bestFit="1" customWidth="1"/>
    <col min="8" max="8" width="20" bestFit="1" customWidth="1"/>
    <col min="9" max="9" width="7.08984375" bestFit="1" customWidth="1"/>
    <col min="10" max="10" width="4.36328125" bestFit="1" customWidth="1"/>
    <col min="11" max="11" width="10.36328125" bestFit="1" customWidth="1"/>
    <col min="13" max="13" width="4.36328125" bestFit="1" customWidth="1"/>
    <col min="14" max="14" width="14.7265625" bestFit="1" customWidth="1"/>
    <col min="15" max="15" width="10.7265625" bestFit="1" customWidth="1"/>
    <col min="16" max="16" width="18" bestFit="1" customWidth="1"/>
    <col min="17" max="17" width="8.81640625" bestFit="1" customWidth="1"/>
    <col min="18" max="18" width="9.1796875" bestFit="1" customWidth="1"/>
    <col min="19" max="19" width="20" bestFit="1" customWidth="1"/>
  </cols>
  <sheetData>
    <row r="1" spans="2:22" ht="18" x14ac:dyDescent="0.4">
      <c r="B1" s="67" t="s">
        <v>16</v>
      </c>
      <c r="C1" s="67"/>
      <c r="D1" s="67"/>
      <c r="E1" s="67"/>
      <c r="F1" s="67"/>
      <c r="G1" s="67"/>
      <c r="H1" s="67"/>
      <c r="I1" s="67"/>
      <c r="J1" s="67"/>
      <c r="K1" s="9"/>
      <c r="L1" s="9"/>
      <c r="M1" s="9"/>
      <c r="S1" s="52" t="s">
        <v>4</v>
      </c>
      <c r="T1" s="53"/>
      <c r="U1" s="53"/>
      <c r="V1" s="54"/>
    </row>
    <row r="2" spans="2:22" ht="15.5" x14ac:dyDescent="0.35">
      <c r="B2" s="66" t="s">
        <v>0</v>
      </c>
      <c r="C2" s="66"/>
      <c r="D2" s="66"/>
      <c r="E2" s="66"/>
      <c r="F2" s="66"/>
      <c r="G2" s="66"/>
      <c r="H2" s="66"/>
      <c r="I2" s="66"/>
      <c r="J2" s="66"/>
      <c r="K2" s="10"/>
      <c r="L2" s="10"/>
      <c r="M2" s="10"/>
      <c r="S2" s="55"/>
      <c r="T2" s="56"/>
      <c r="U2" s="56"/>
      <c r="V2" s="57"/>
    </row>
    <row r="3" spans="2:22" ht="15.5" x14ac:dyDescent="0.35">
      <c r="B3" s="29"/>
      <c r="C3" s="29"/>
      <c r="D3" s="29"/>
      <c r="E3" s="29"/>
      <c r="F3" s="29"/>
      <c r="G3" s="29"/>
      <c r="H3" s="29"/>
      <c r="I3" s="29"/>
      <c r="J3" s="29"/>
      <c r="K3" s="10"/>
      <c r="L3" s="10"/>
      <c r="M3" s="10"/>
      <c r="S3" s="55"/>
      <c r="T3" s="56"/>
      <c r="U3" s="56"/>
      <c r="V3" s="57"/>
    </row>
    <row r="4" spans="2:22" ht="12.5" customHeight="1" thickBot="1" x14ac:dyDescent="0.4">
      <c r="B4" s="10" t="s">
        <v>19</v>
      </c>
      <c r="C4" s="10"/>
      <c r="D4" s="10"/>
      <c r="E4" s="10"/>
      <c r="F4" s="10" t="s">
        <v>21</v>
      </c>
      <c r="G4" s="10"/>
      <c r="H4" s="10"/>
      <c r="I4" s="10"/>
      <c r="J4" s="10"/>
      <c r="K4" s="10"/>
      <c r="P4" s="42" t="s">
        <v>19</v>
      </c>
      <c r="S4" s="58"/>
      <c r="T4" s="59"/>
      <c r="U4" s="59"/>
      <c r="V4" s="60"/>
    </row>
    <row r="5" spans="2:22" ht="13.5" customHeight="1" x14ac:dyDescent="0.35">
      <c r="B5" s="68" t="s">
        <v>5</v>
      </c>
      <c r="C5" s="71" t="s">
        <v>1</v>
      </c>
      <c r="D5" s="74" t="s">
        <v>2</v>
      </c>
      <c r="E5" s="22"/>
      <c r="F5" s="68" t="s">
        <v>5</v>
      </c>
      <c r="G5" s="71" t="s">
        <v>1</v>
      </c>
      <c r="H5" s="74" t="s">
        <v>2</v>
      </c>
      <c r="K5" s="10"/>
      <c r="P5" s="35" t="s">
        <v>15</v>
      </c>
      <c r="Q5">
        <f>_xlfn.MAXIFS(B18:B37,D18:D37,"&lt;61")</f>
        <v>11</v>
      </c>
    </row>
    <row r="6" spans="2:22" ht="12.75" customHeight="1" x14ac:dyDescent="0.25">
      <c r="B6" s="69"/>
      <c r="C6" s="72"/>
      <c r="D6" s="75"/>
      <c r="E6" s="22"/>
      <c r="F6" s="69"/>
      <c r="G6" s="72"/>
      <c r="H6" s="75"/>
      <c r="P6" s="35" t="s">
        <v>18</v>
      </c>
      <c r="Q6" s="3">
        <f>(MAX(H18:H37)+Q5)/Q5</f>
        <v>1.0909090909090908</v>
      </c>
    </row>
    <row r="7" spans="2:22" ht="12.75" customHeight="1" x14ac:dyDescent="0.25">
      <c r="B7" s="70"/>
      <c r="C7" s="73"/>
      <c r="D7" s="76"/>
      <c r="E7" s="22"/>
      <c r="F7" s="70"/>
      <c r="G7" s="73"/>
      <c r="H7" s="76"/>
    </row>
    <row r="8" spans="2:22" ht="12.75" customHeight="1" x14ac:dyDescent="0.3">
      <c r="B8" s="18">
        <v>3</v>
      </c>
      <c r="C8" s="19">
        <v>0.2</v>
      </c>
      <c r="D8" s="15">
        <f>C8</f>
        <v>0.2</v>
      </c>
      <c r="E8" s="26"/>
      <c r="F8" s="18">
        <v>2</v>
      </c>
      <c r="G8" s="19">
        <v>0.33</v>
      </c>
      <c r="H8" s="15">
        <f>G8</f>
        <v>0.33</v>
      </c>
      <c r="P8" s="42" t="s">
        <v>20</v>
      </c>
    </row>
    <row r="9" spans="2:22" ht="13" thickBot="1" x14ac:dyDescent="0.3">
      <c r="B9" s="20">
        <v>4</v>
      </c>
      <c r="C9" s="19">
        <v>0.2</v>
      </c>
      <c r="D9" s="5">
        <f>C9+D8</f>
        <v>0.4</v>
      </c>
      <c r="E9" s="4"/>
      <c r="F9" s="21">
        <v>3</v>
      </c>
      <c r="G9" s="28">
        <v>0.67</v>
      </c>
      <c r="H9" s="41">
        <f>H8+G9</f>
        <v>1</v>
      </c>
      <c r="P9" s="35" t="s">
        <v>15</v>
      </c>
      <c r="Q9">
        <f>_xlfn.MAXIFS(J19:J28,K19:K28,"&lt;61")</f>
        <v>10</v>
      </c>
    </row>
    <row r="10" spans="2:22" x14ac:dyDescent="0.25">
      <c r="B10" s="20">
        <v>5</v>
      </c>
      <c r="C10" s="19">
        <v>0.2</v>
      </c>
      <c r="D10" s="5">
        <f>C10+D9</f>
        <v>0.60000000000000009</v>
      </c>
      <c r="E10" s="4"/>
      <c r="I10" s="14"/>
      <c r="J10" s="11"/>
      <c r="P10" s="35" t="s">
        <v>18</v>
      </c>
      <c r="Q10" s="3">
        <f>MAX(J19:J28)/(MAX(K19:K28)/6)</f>
        <v>1</v>
      </c>
    </row>
    <row r="11" spans="2:22" ht="13" thickBot="1" x14ac:dyDescent="0.3">
      <c r="B11" s="20">
        <v>6</v>
      </c>
      <c r="C11" s="19">
        <v>0.2</v>
      </c>
      <c r="D11" s="5">
        <f>C11+D10</f>
        <v>0.8</v>
      </c>
      <c r="E11" s="4"/>
      <c r="I11" s="11"/>
      <c r="J11" s="11"/>
    </row>
    <row r="12" spans="2:22" ht="13.5" thickBot="1" x14ac:dyDescent="0.35">
      <c r="B12" s="21">
        <v>7</v>
      </c>
      <c r="C12" s="28">
        <v>0.2</v>
      </c>
      <c r="D12" s="8">
        <f>C12+D11</f>
        <v>1</v>
      </c>
      <c r="E12" s="4"/>
      <c r="I12" s="11"/>
      <c r="J12" s="11"/>
      <c r="L12" s="68" t="s">
        <v>6</v>
      </c>
      <c r="M12" s="77"/>
      <c r="N12" s="74"/>
      <c r="O12" s="30"/>
      <c r="P12" s="42" t="s">
        <v>21</v>
      </c>
    </row>
    <row r="13" spans="2:22" ht="13.5" customHeight="1" thickBot="1" x14ac:dyDescent="0.35">
      <c r="C13" s="2"/>
      <c r="D13" s="4"/>
      <c r="E13" s="4"/>
      <c r="F13" s="61" t="s">
        <v>3</v>
      </c>
      <c r="G13" s="62"/>
      <c r="H13" s="63"/>
      <c r="I13" s="17">
        <v>12345</v>
      </c>
      <c r="J13" s="11"/>
      <c r="L13" s="69"/>
      <c r="M13" s="78"/>
      <c r="N13" s="75"/>
      <c r="O13" s="30"/>
      <c r="P13" s="35" t="s">
        <v>15</v>
      </c>
      <c r="Q13">
        <f>_xlfn.MAXIFS(M19:M48,O19:O48,"&lt;61")</f>
        <v>25</v>
      </c>
    </row>
    <row r="14" spans="2:22" ht="14.25" customHeight="1" thickBot="1" x14ac:dyDescent="0.3">
      <c r="F14" s="16"/>
      <c r="L14" s="79"/>
      <c r="M14" s="80"/>
      <c r="N14" s="81"/>
      <c r="O14" s="30"/>
      <c r="P14" s="35" t="s">
        <v>18</v>
      </c>
      <c r="Q14" s="3">
        <f>(MAX(S19:S48)+Q13)/Q13</f>
        <v>20.6</v>
      </c>
    </row>
    <row r="15" spans="2:22" ht="14.25" customHeight="1" thickBot="1" x14ac:dyDescent="0.3">
      <c r="F15" s="16"/>
      <c r="L15" s="30"/>
      <c r="M15" s="30"/>
      <c r="N15" s="30"/>
      <c r="O15" s="30"/>
      <c r="P15" s="35"/>
      <c r="Q15" s="3"/>
    </row>
    <row r="16" spans="2:22" ht="17.25" customHeight="1" thickBot="1" x14ac:dyDescent="0.35">
      <c r="B16" s="64" t="s">
        <v>7</v>
      </c>
      <c r="C16" s="65"/>
      <c r="D16" s="24"/>
      <c r="E16" s="27"/>
      <c r="F16" s="25"/>
      <c r="G16" s="36"/>
    </row>
    <row r="17" spans="2:19" ht="14.25" customHeight="1" thickBot="1" x14ac:dyDescent="0.35">
      <c r="B17" s="23" t="s">
        <v>13</v>
      </c>
      <c r="C17" s="23" t="s">
        <v>8</v>
      </c>
      <c r="D17" s="23" t="s">
        <v>9</v>
      </c>
      <c r="E17" s="23" t="s">
        <v>10</v>
      </c>
      <c r="F17" s="23" t="s">
        <v>11</v>
      </c>
      <c r="G17" s="23" t="s">
        <v>12</v>
      </c>
      <c r="H17" s="23" t="s">
        <v>14</v>
      </c>
      <c r="J17" s="64" t="s">
        <v>7</v>
      </c>
      <c r="K17" s="65"/>
      <c r="M17" s="82" t="s">
        <v>7</v>
      </c>
      <c r="N17" s="83"/>
      <c r="O17" s="24"/>
      <c r="P17" s="27"/>
      <c r="Q17" s="25"/>
      <c r="R17" s="50"/>
    </row>
    <row r="18" spans="2:19" ht="13" customHeight="1" thickBot="1" x14ac:dyDescent="0.35">
      <c r="B18" s="12">
        <v>1</v>
      </c>
      <c r="C18" s="43">
        <f>[1]!DiscreteUniform($B$8,$B$12)</f>
        <v>3</v>
      </c>
      <c r="D18" s="31">
        <f>C18</f>
        <v>3</v>
      </c>
      <c r="E18" s="31">
        <f>D18</f>
        <v>3</v>
      </c>
      <c r="F18" s="32">
        <f>E18+4</f>
        <v>7</v>
      </c>
      <c r="G18" s="37">
        <f>E18-D18</f>
        <v>0</v>
      </c>
      <c r="H18" s="33">
        <f>G18</f>
        <v>0</v>
      </c>
      <c r="J18" s="23" t="s">
        <v>13</v>
      </c>
      <c r="K18" s="40" t="s">
        <v>17</v>
      </c>
      <c r="M18" s="51" t="s">
        <v>13</v>
      </c>
      <c r="N18" s="51" t="s">
        <v>8</v>
      </c>
      <c r="O18" s="51" t="s">
        <v>9</v>
      </c>
      <c r="P18" s="51" t="s">
        <v>10</v>
      </c>
      <c r="Q18" s="51" t="s">
        <v>11</v>
      </c>
      <c r="R18" s="51" t="s">
        <v>12</v>
      </c>
      <c r="S18" s="51" t="s">
        <v>14</v>
      </c>
    </row>
    <row r="19" spans="2:19" x14ac:dyDescent="0.25">
      <c r="B19" s="12">
        <v>2</v>
      </c>
      <c r="C19" s="44">
        <f>[1]!DiscreteUniform($B$8,$B$12)</f>
        <v>6</v>
      </c>
      <c r="D19" s="7">
        <f>D18+C19</f>
        <v>9</v>
      </c>
      <c r="E19" s="7">
        <f>MAX(D19,F18)</f>
        <v>9</v>
      </c>
      <c r="F19" s="32">
        <f t="shared" ref="F19:F37" si="0">E19+4</f>
        <v>13</v>
      </c>
      <c r="G19" s="38">
        <f t="shared" ref="G19:G37" si="1">E19-D19</f>
        <v>0</v>
      </c>
      <c r="H19" s="33">
        <f>IF(D19&lt;61,H18+G19,H18)</f>
        <v>0</v>
      </c>
      <c r="J19" s="12">
        <v>1</v>
      </c>
      <c r="K19" s="33">
        <v>6</v>
      </c>
      <c r="L19" s="3"/>
      <c r="M19" s="12">
        <v>1</v>
      </c>
      <c r="N19" s="39">
        <f>[1]!DiscreteUniform($F$8,$F$9)</f>
        <v>2</v>
      </c>
      <c r="O19" s="31">
        <f>N19</f>
        <v>2</v>
      </c>
      <c r="P19" s="31">
        <f>O19</f>
        <v>2</v>
      </c>
      <c r="Q19" s="32">
        <f t="shared" ref="Q19:Q48" si="2">P19+4</f>
        <v>6</v>
      </c>
      <c r="R19" s="38">
        <f t="shared" ref="R19:R48" si="3">P19-O19</f>
        <v>0</v>
      </c>
      <c r="S19" s="33">
        <f>R19</f>
        <v>0</v>
      </c>
    </row>
    <row r="20" spans="2:19" x14ac:dyDescent="0.25">
      <c r="B20" s="12">
        <v>3</v>
      </c>
      <c r="C20" s="44">
        <f>[1]!DiscreteUniform($B$8,$B$12)</f>
        <v>5</v>
      </c>
      <c r="D20" s="7">
        <f t="shared" ref="D20:D37" si="4">D19+C20</f>
        <v>14</v>
      </c>
      <c r="E20" s="7">
        <f t="shared" ref="E20:E37" si="5">MAX(D20,F19)</f>
        <v>14</v>
      </c>
      <c r="F20" s="32">
        <f t="shared" si="0"/>
        <v>18</v>
      </c>
      <c r="G20" s="38">
        <f t="shared" si="1"/>
        <v>0</v>
      </c>
      <c r="H20" s="33">
        <f t="shared" ref="H20:H37" si="6">IF(D20&lt;61,H19+G20,H19)</f>
        <v>0</v>
      </c>
      <c r="J20" s="12">
        <v>2</v>
      </c>
      <c r="K20" s="33">
        <f>K19+6</f>
        <v>12</v>
      </c>
      <c r="L20" s="3"/>
      <c r="M20" s="12">
        <v>2</v>
      </c>
      <c r="N20" s="45">
        <f t="shared" ref="N20:N48" si="7">[1]!DiscreteUniform($F$8,$F$9)</f>
        <v>3</v>
      </c>
      <c r="O20" s="7">
        <f t="shared" ref="O20:O48" si="8">O19+N20</f>
        <v>5</v>
      </c>
      <c r="P20" s="7">
        <f t="shared" ref="P20:P48" si="9">MAX(O20,Q19)</f>
        <v>6</v>
      </c>
      <c r="Q20" s="32">
        <f t="shared" si="2"/>
        <v>10</v>
      </c>
      <c r="R20" s="38">
        <f t="shared" si="3"/>
        <v>1</v>
      </c>
      <c r="S20" s="33">
        <f t="shared" ref="S20:S48" si="10">IF(O20&lt;61,S19+R20,S19)</f>
        <v>1</v>
      </c>
    </row>
    <row r="21" spans="2:19" x14ac:dyDescent="0.25">
      <c r="B21" s="12">
        <v>4</v>
      </c>
      <c r="C21" s="44">
        <f>[1]!DiscreteUniform($B$8,$B$12)</f>
        <v>7</v>
      </c>
      <c r="D21" s="7">
        <f t="shared" si="4"/>
        <v>21</v>
      </c>
      <c r="E21" s="7">
        <f t="shared" si="5"/>
        <v>21</v>
      </c>
      <c r="F21" s="32">
        <f t="shared" si="0"/>
        <v>25</v>
      </c>
      <c r="G21" s="38">
        <f t="shared" si="1"/>
        <v>0</v>
      </c>
      <c r="H21" s="33">
        <f t="shared" si="6"/>
        <v>0</v>
      </c>
      <c r="J21" s="12">
        <v>3</v>
      </c>
      <c r="K21" s="33">
        <f t="shared" ref="K21:K28" si="11">K20+6</f>
        <v>18</v>
      </c>
      <c r="L21" s="3"/>
      <c r="M21" s="12">
        <v>3</v>
      </c>
      <c r="N21" s="45">
        <f t="shared" si="7"/>
        <v>2</v>
      </c>
      <c r="O21" s="7">
        <f t="shared" si="8"/>
        <v>7</v>
      </c>
      <c r="P21" s="7">
        <f t="shared" si="9"/>
        <v>10</v>
      </c>
      <c r="Q21" s="32">
        <f t="shared" si="2"/>
        <v>14</v>
      </c>
      <c r="R21" s="38">
        <f t="shared" si="3"/>
        <v>3</v>
      </c>
      <c r="S21" s="33">
        <f t="shared" si="10"/>
        <v>4</v>
      </c>
    </row>
    <row r="22" spans="2:19" x14ac:dyDescent="0.25">
      <c r="B22" s="12">
        <v>5</v>
      </c>
      <c r="C22" s="44">
        <f>[1]!DiscreteUniform($B$8,$B$12)</f>
        <v>4</v>
      </c>
      <c r="D22" s="7">
        <f t="shared" si="4"/>
        <v>25</v>
      </c>
      <c r="E22" s="7">
        <f t="shared" si="5"/>
        <v>25</v>
      </c>
      <c r="F22" s="32">
        <f t="shared" si="0"/>
        <v>29</v>
      </c>
      <c r="G22" s="38">
        <f t="shared" si="1"/>
        <v>0</v>
      </c>
      <c r="H22" s="33">
        <f t="shared" si="6"/>
        <v>0</v>
      </c>
      <c r="J22" s="12">
        <v>4</v>
      </c>
      <c r="K22" s="33">
        <f t="shared" si="11"/>
        <v>24</v>
      </c>
      <c r="M22" s="12">
        <v>4</v>
      </c>
      <c r="N22" s="45">
        <f t="shared" si="7"/>
        <v>2</v>
      </c>
      <c r="O22" s="7">
        <f t="shared" si="8"/>
        <v>9</v>
      </c>
      <c r="P22" s="7">
        <f t="shared" si="9"/>
        <v>14</v>
      </c>
      <c r="Q22" s="32">
        <f t="shared" si="2"/>
        <v>18</v>
      </c>
      <c r="R22" s="38">
        <f t="shared" si="3"/>
        <v>5</v>
      </c>
      <c r="S22" s="33">
        <f t="shared" si="10"/>
        <v>9</v>
      </c>
    </row>
    <row r="23" spans="2:19" x14ac:dyDescent="0.25">
      <c r="B23" s="12">
        <v>6</v>
      </c>
      <c r="C23" s="44">
        <f>[1]!DiscreteUniform($B$8,$B$12)</f>
        <v>5</v>
      </c>
      <c r="D23" s="7">
        <f t="shared" si="4"/>
        <v>30</v>
      </c>
      <c r="E23" s="7">
        <f t="shared" si="5"/>
        <v>30</v>
      </c>
      <c r="F23" s="32">
        <f t="shared" si="0"/>
        <v>34</v>
      </c>
      <c r="G23" s="38">
        <f t="shared" si="1"/>
        <v>0</v>
      </c>
      <c r="H23" s="33">
        <f t="shared" si="6"/>
        <v>0</v>
      </c>
      <c r="J23" s="12">
        <v>5</v>
      </c>
      <c r="K23" s="33">
        <f t="shared" si="11"/>
        <v>30</v>
      </c>
      <c r="M23" s="12">
        <v>5</v>
      </c>
      <c r="N23" s="45">
        <f t="shared" si="7"/>
        <v>3</v>
      </c>
      <c r="O23" s="7">
        <f t="shared" si="8"/>
        <v>12</v>
      </c>
      <c r="P23" s="7">
        <f t="shared" si="9"/>
        <v>18</v>
      </c>
      <c r="Q23" s="32">
        <f t="shared" si="2"/>
        <v>22</v>
      </c>
      <c r="R23" s="38">
        <f t="shared" si="3"/>
        <v>6</v>
      </c>
      <c r="S23" s="33">
        <f t="shared" si="10"/>
        <v>15</v>
      </c>
    </row>
    <row r="24" spans="2:19" ht="12.75" customHeight="1" x14ac:dyDescent="0.25">
      <c r="B24" s="12">
        <v>7</v>
      </c>
      <c r="C24" s="44">
        <f>[1]!DiscreteUniform($B$8,$B$12)</f>
        <v>6</v>
      </c>
      <c r="D24" s="7">
        <f t="shared" si="4"/>
        <v>36</v>
      </c>
      <c r="E24" s="7">
        <f t="shared" si="5"/>
        <v>36</v>
      </c>
      <c r="F24" s="32">
        <f t="shared" si="0"/>
        <v>40</v>
      </c>
      <c r="G24" s="38">
        <f t="shared" si="1"/>
        <v>0</v>
      </c>
      <c r="H24" s="33">
        <f t="shared" si="6"/>
        <v>0</v>
      </c>
      <c r="J24" s="12">
        <v>6</v>
      </c>
      <c r="K24" s="33">
        <f t="shared" si="11"/>
        <v>36</v>
      </c>
      <c r="L24" s="3"/>
      <c r="M24" s="12">
        <v>6</v>
      </c>
      <c r="N24" s="45">
        <f t="shared" si="7"/>
        <v>2</v>
      </c>
      <c r="O24" s="7">
        <f t="shared" si="8"/>
        <v>14</v>
      </c>
      <c r="P24" s="7">
        <f t="shared" si="9"/>
        <v>22</v>
      </c>
      <c r="Q24" s="32">
        <f t="shared" si="2"/>
        <v>26</v>
      </c>
      <c r="R24" s="38">
        <f t="shared" si="3"/>
        <v>8</v>
      </c>
      <c r="S24" s="33">
        <f t="shared" si="10"/>
        <v>23</v>
      </c>
    </row>
    <row r="25" spans="2:19" ht="12.75" customHeight="1" x14ac:dyDescent="0.25">
      <c r="B25" s="12">
        <v>8</v>
      </c>
      <c r="C25" s="44">
        <f>[1]!DiscreteUniform($B$8,$B$12)</f>
        <v>5</v>
      </c>
      <c r="D25" s="7">
        <f t="shared" si="4"/>
        <v>41</v>
      </c>
      <c r="E25" s="7">
        <f t="shared" si="5"/>
        <v>41</v>
      </c>
      <c r="F25" s="32">
        <f t="shared" si="0"/>
        <v>45</v>
      </c>
      <c r="G25" s="38">
        <f t="shared" si="1"/>
        <v>0</v>
      </c>
      <c r="H25" s="33">
        <f t="shared" si="6"/>
        <v>0</v>
      </c>
      <c r="J25" s="12">
        <v>7</v>
      </c>
      <c r="K25" s="33">
        <f t="shared" si="11"/>
        <v>42</v>
      </c>
      <c r="L25" s="6"/>
      <c r="M25" s="12">
        <v>7</v>
      </c>
      <c r="N25" s="45">
        <f t="shared" si="7"/>
        <v>2</v>
      </c>
      <c r="O25" s="7">
        <f t="shared" si="8"/>
        <v>16</v>
      </c>
      <c r="P25" s="7">
        <f t="shared" si="9"/>
        <v>26</v>
      </c>
      <c r="Q25" s="32">
        <f t="shared" si="2"/>
        <v>30</v>
      </c>
      <c r="R25" s="38">
        <f t="shared" si="3"/>
        <v>10</v>
      </c>
      <c r="S25" s="33">
        <f t="shared" si="10"/>
        <v>33</v>
      </c>
    </row>
    <row r="26" spans="2:19" x14ac:dyDescent="0.25">
      <c r="B26" s="12">
        <v>9</v>
      </c>
      <c r="C26" s="44">
        <f>[1]!DiscreteUniform($B$8,$B$12)</f>
        <v>3</v>
      </c>
      <c r="D26" s="7">
        <f t="shared" si="4"/>
        <v>44</v>
      </c>
      <c r="E26" s="7">
        <f t="shared" si="5"/>
        <v>45</v>
      </c>
      <c r="F26" s="32">
        <f t="shared" si="0"/>
        <v>49</v>
      </c>
      <c r="G26" s="38">
        <f t="shared" si="1"/>
        <v>1</v>
      </c>
      <c r="H26" s="33">
        <f t="shared" si="6"/>
        <v>1</v>
      </c>
      <c r="J26" s="12">
        <v>8</v>
      </c>
      <c r="K26" s="33">
        <f t="shared" si="11"/>
        <v>48</v>
      </c>
      <c r="L26" s="6"/>
      <c r="M26" s="12">
        <v>8</v>
      </c>
      <c r="N26" s="45">
        <f t="shared" si="7"/>
        <v>2</v>
      </c>
      <c r="O26" s="7">
        <f t="shared" si="8"/>
        <v>18</v>
      </c>
      <c r="P26" s="7">
        <f t="shared" si="9"/>
        <v>30</v>
      </c>
      <c r="Q26" s="32">
        <f t="shared" si="2"/>
        <v>34</v>
      </c>
      <c r="R26" s="38">
        <f t="shared" si="3"/>
        <v>12</v>
      </c>
      <c r="S26" s="33">
        <f t="shared" si="10"/>
        <v>45</v>
      </c>
    </row>
    <row r="27" spans="2:19" x14ac:dyDescent="0.25">
      <c r="B27" s="12">
        <v>10</v>
      </c>
      <c r="C27" s="44">
        <f>[1]!DiscreteUniform($B$8,$B$12)</f>
        <v>5</v>
      </c>
      <c r="D27" s="7">
        <f t="shared" si="4"/>
        <v>49</v>
      </c>
      <c r="E27" s="7">
        <f t="shared" si="5"/>
        <v>49</v>
      </c>
      <c r="F27" s="32">
        <f t="shared" si="0"/>
        <v>53</v>
      </c>
      <c r="G27" s="38">
        <f t="shared" si="1"/>
        <v>0</v>
      </c>
      <c r="H27" s="33">
        <f t="shared" si="6"/>
        <v>1</v>
      </c>
      <c r="J27" s="12">
        <v>9</v>
      </c>
      <c r="K27" s="33">
        <f t="shared" si="11"/>
        <v>54</v>
      </c>
      <c r="L27" s="6"/>
      <c r="M27" s="12">
        <v>9</v>
      </c>
      <c r="N27" s="45">
        <f t="shared" si="7"/>
        <v>3</v>
      </c>
      <c r="O27" s="7">
        <f t="shared" si="8"/>
        <v>21</v>
      </c>
      <c r="P27" s="7">
        <f t="shared" si="9"/>
        <v>34</v>
      </c>
      <c r="Q27" s="32">
        <f t="shared" si="2"/>
        <v>38</v>
      </c>
      <c r="R27" s="38">
        <f t="shared" si="3"/>
        <v>13</v>
      </c>
      <c r="S27" s="33">
        <f t="shared" si="10"/>
        <v>58</v>
      </c>
    </row>
    <row r="28" spans="2:19" ht="13" thickBot="1" x14ac:dyDescent="0.3">
      <c r="B28" s="12">
        <v>11</v>
      </c>
      <c r="C28" s="44">
        <f>[1]!DiscreteUniform($B$8,$B$12)</f>
        <v>7</v>
      </c>
      <c r="D28" s="7">
        <f t="shared" si="4"/>
        <v>56</v>
      </c>
      <c r="E28" s="7">
        <f t="shared" si="5"/>
        <v>56</v>
      </c>
      <c r="F28" s="32">
        <f t="shared" si="0"/>
        <v>60</v>
      </c>
      <c r="G28" s="38">
        <f t="shared" si="1"/>
        <v>0</v>
      </c>
      <c r="H28" s="33">
        <f t="shared" si="6"/>
        <v>1</v>
      </c>
      <c r="J28" s="13">
        <v>10</v>
      </c>
      <c r="K28" s="34">
        <f t="shared" si="11"/>
        <v>60</v>
      </c>
      <c r="L28" s="6"/>
      <c r="M28" s="12">
        <v>10</v>
      </c>
      <c r="N28" s="45">
        <f t="shared" si="7"/>
        <v>2</v>
      </c>
      <c r="O28" s="7">
        <f t="shared" si="8"/>
        <v>23</v>
      </c>
      <c r="P28" s="7">
        <f t="shared" si="9"/>
        <v>38</v>
      </c>
      <c r="Q28" s="32">
        <f t="shared" si="2"/>
        <v>42</v>
      </c>
      <c r="R28" s="38">
        <f t="shared" si="3"/>
        <v>15</v>
      </c>
      <c r="S28" s="33">
        <f t="shared" si="10"/>
        <v>73</v>
      </c>
    </row>
    <row r="29" spans="2:19" x14ac:dyDescent="0.25">
      <c r="B29" s="12">
        <v>12</v>
      </c>
      <c r="C29" s="44">
        <f>[1]!DiscreteUniform($B$8,$B$12)</f>
        <v>7</v>
      </c>
      <c r="D29" s="7">
        <f t="shared" si="4"/>
        <v>63</v>
      </c>
      <c r="E29" s="7">
        <f t="shared" si="5"/>
        <v>63</v>
      </c>
      <c r="F29" s="32">
        <f t="shared" si="0"/>
        <v>67</v>
      </c>
      <c r="G29" s="38">
        <f t="shared" si="1"/>
        <v>0</v>
      </c>
      <c r="H29" s="33">
        <f t="shared" si="6"/>
        <v>1</v>
      </c>
      <c r="I29" s="1"/>
      <c r="J29" s="1"/>
      <c r="K29" s="1"/>
      <c r="L29" s="6"/>
      <c r="M29" s="12">
        <v>11</v>
      </c>
      <c r="N29" s="45">
        <f t="shared" si="7"/>
        <v>2</v>
      </c>
      <c r="O29" s="7">
        <f t="shared" si="8"/>
        <v>25</v>
      </c>
      <c r="P29" s="7">
        <f t="shared" si="9"/>
        <v>42</v>
      </c>
      <c r="Q29" s="32">
        <f t="shared" si="2"/>
        <v>46</v>
      </c>
      <c r="R29" s="38">
        <f t="shared" si="3"/>
        <v>17</v>
      </c>
      <c r="S29" s="33">
        <f t="shared" si="10"/>
        <v>90</v>
      </c>
    </row>
    <row r="30" spans="2:19" x14ac:dyDescent="0.25">
      <c r="B30" s="12">
        <v>13</v>
      </c>
      <c r="C30" s="44">
        <f>[1]!DiscreteUniform($B$8,$B$12)</f>
        <v>7</v>
      </c>
      <c r="D30" s="7">
        <f t="shared" si="4"/>
        <v>70</v>
      </c>
      <c r="E30" s="7">
        <f t="shared" si="5"/>
        <v>70</v>
      </c>
      <c r="F30" s="32">
        <f t="shared" si="0"/>
        <v>74</v>
      </c>
      <c r="G30" s="38">
        <f t="shared" si="1"/>
        <v>0</v>
      </c>
      <c r="H30" s="33">
        <f t="shared" si="6"/>
        <v>1</v>
      </c>
      <c r="I30" s="1"/>
      <c r="J30" s="1"/>
      <c r="K30" s="1"/>
      <c r="M30" s="12">
        <v>12</v>
      </c>
      <c r="N30" s="45">
        <f t="shared" si="7"/>
        <v>2</v>
      </c>
      <c r="O30" s="7">
        <f t="shared" si="8"/>
        <v>27</v>
      </c>
      <c r="P30" s="7">
        <f t="shared" si="9"/>
        <v>46</v>
      </c>
      <c r="Q30" s="32">
        <f t="shared" si="2"/>
        <v>50</v>
      </c>
      <c r="R30" s="38">
        <f t="shared" si="3"/>
        <v>19</v>
      </c>
      <c r="S30" s="33">
        <f t="shared" si="10"/>
        <v>109</v>
      </c>
    </row>
    <row r="31" spans="2:19" x14ac:dyDescent="0.25">
      <c r="B31" s="12">
        <v>14</v>
      </c>
      <c r="C31" s="44">
        <f>[1]!DiscreteUniform($B$8,$B$12)</f>
        <v>4</v>
      </c>
      <c r="D31" s="7">
        <f t="shared" si="4"/>
        <v>74</v>
      </c>
      <c r="E31" s="7">
        <f t="shared" si="5"/>
        <v>74</v>
      </c>
      <c r="F31" s="32">
        <f t="shared" si="0"/>
        <v>78</v>
      </c>
      <c r="G31" s="38">
        <f t="shared" si="1"/>
        <v>0</v>
      </c>
      <c r="H31" s="33">
        <f t="shared" si="6"/>
        <v>1</v>
      </c>
      <c r="I31" s="1"/>
      <c r="J31" s="1"/>
      <c r="K31" s="1"/>
      <c r="M31" s="12">
        <v>13</v>
      </c>
      <c r="N31" s="45">
        <f t="shared" si="7"/>
        <v>2</v>
      </c>
      <c r="O31" s="7">
        <f t="shared" si="8"/>
        <v>29</v>
      </c>
      <c r="P31" s="7">
        <f t="shared" si="9"/>
        <v>50</v>
      </c>
      <c r="Q31" s="32">
        <f t="shared" si="2"/>
        <v>54</v>
      </c>
      <c r="R31" s="38">
        <f t="shared" si="3"/>
        <v>21</v>
      </c>
      <c r="S31" s="33">
        <f t="shared" si="10"/>
        <v>130</v>
      </c>
    </row>
    <row r="32" spans="2:19" x14ac:dyDescent="0.25">
      <c r="B32" s="12">
        <v>15</v>
      </c>
      <c r="C32" s="44">
        <f>[1]!DiscreteUniform($B$8,$B$12)</f>
        <v>4</v>
      </c>
      <c r="D32" s="7">
        <f t="shared" si="4"/>
        <v>78</v>
      </c>
      <c r="E32" s="7">
        <f t="shared" si="5"/>
        <v>78</v>
      </c>
      <c r="F32" s="32">
        <f t="shared" si="0"/>
        <v>82</v>
      </c>
      <c r="G32" s="38">
        <f t="shared" si="1"/>
        <v>0</v>
      </c>
      <c r="H32" s="33">
        <f t="shared" si="6"/>
        <v>1</v>
      </c>
      <c r="I32" s="1"/>
      <c r="J32" s="1"/>
      <c r="K32" s="1"/>
      <c r="M32" s="12">
        <v>14</v>
      </c>
      <c r="N32" s="45">
        <f t="shared" si="7"/>
        <v>2</v>
      </c>
      <c r="O32" s="7">
        <f t="shared" si="8"/>
        <v>31</v>
      </c>
      <c r="P32" s="7">
        <f t="shared" si="9"/>
        <v>54</v>
      </c>
      <c r="Q32" s="32">
        <f t="shared" si="2"/>
        <v>58</v>
      </c>
      <c r="R32" s="38">
        <f t="shared" si="3"/>
        <v>23</v>
      </c>
      <c r="S32" s="33">
        <f t="shared" si="10"/>
        <v>153</v>
      </c>
    </row>
    <row r="33" spans="2:19" x14ac:dyDescent="0.25">
      <c r="B33" s="12">
        <v>16</v>
      </c>
      <c r="C33" s="44">
        <f>[1]!DiscreteUniform($B$8,$B$12)</f>
        <v>6</v>
      </c>
      <c r="D33" s="7">
        <f t="shared" si="4"/>
        <v>84</v>
      </c>
      <c r="E33" s="7">
        <f t="shared" si="5"/>
        <v>84</v>
      </c>
      <c r="F33" s="32">
        <f t="shared" si="0"/>
        <v>88</v>
      </c>
      <c r="G33" s="38">
        <f t="shared" si="1"/>
        <v>0</v>
      </c>
      <c r="H33" s="33">
        <f t="shared" si="6"/>
        <v>1</v>
      </c>
      <c r="I33" s="1"/>
      <c r="J33" s="1"/>
      <c r="K33" s="1"/>
      <c r="M33" s="12">
        <v>15</v>
      </c>
      <c r="N33" s="45">
        <f t="shared" si="7"/>
        <v>3</v>
      </c>
      <c r="O33" s="7">
        <f t="shared" si="8"/>
        <v>34</v>
      </c>
      <c r="P33" s="7">
        <f t="shared" si="9"/>
        <v>58</v>
      </c>
      <c r="Q33" s="32">
        <f t="shared" si="2"/>
        <v>62</v>
      </c>
      <c r="R33" s="38">
        <f t="shared" si="3"/>
        <v>24</v>
      </c>
      <c r="S33" s="33">
        <f t="shared" si="10"/>
        <v>177</v>
      </c>
    </row>
    <row r="34" spans="2:19" x14ac:dyDescent="0.25">
      <c r="B34" s="12">
        <v>17</v>
      </c>
      <c r="C34" s="44">
        <f>[1]!DiscreteUniform($B$8,$B$12)</f>
        <v>4</v>
      </c>
      <c r="D34" s="7">
        <f t="shared" si="4"/>
        <v>88</v>
      </c>
      <c r="E34" s="7">
        <f t="shared" si="5"/>
        <v>88</v>
      </c>
      <c r="F34" s="32">
        <f t="shared" si="0"/>
        <v>92</v>
      </c>
      <c r="G34" s="38">
        <f t="shared" si="1"/>
        <v>0</v>
      </c>
      <c r="H34" s="33">
        <f t="shared" si="6"/>
        <v>1</v>
      </c>
      <c r="I34" s="1"/>
      <c r="J34" s="1"/>
      <c r="K34" s="1"/>
      <c r="M34" s="12">
        <v>16</v>
      </c>
      <c r="N34" s="45">
        <f t="shared" si="7"/>
        <v>3</v>
      </c>
      <c r="O34" s="7">
        <f t="shared" si="8"/>
        <v>37</v>
      </c>
      <c r="P34" s="7">
        <f t="shared" si="9"/>
        <v>62</v>
      </c>
      <c r="Q34" s="32">
        <f t="shared" si="2"/>
        <v>66</v>
      </c>
      <c r="R34" s="38">
        <f t="shared" si="3"/>
        <v>25</v>
      </c>
      <c r="S34" s="33">
        <f t="shared" si="10"/>
        <v>202</v>
      </c>
    </row>
    <row r="35" spans="2:19" x14ac:dyDescent="0.25">
      <c r="B35" s="12">
        <v>18</v>
      </c>
      <c r="C35" s="44">
        <f>[1]!DiscreteUniform($B$8,$B$12)</f>
        <v>7</v>
      </c>
      <c r="D35" s="7">
        <f t="shared" si="4"/>
        <v>95</v>
      </c>
      <c r="E35" s="7">
        <f t="shared" si="5"/>
        <v>95</v>
      </c>
      <c r="F35" s="32">
        <f t="shared" si="0"/>
        <v>99</v>
      </c>
      <c r="G35" s="38">
        <f t="shared" si="1"/>
        <v>0</v>
      </c>
      <c r="H35" s="33">
        <f t="shared" si="6"/>
        <v>1</v>
      </c>
      <c r="I35" s="1"/>
      <c r="J35" s="1"/>
      <c r="K35" s="1"/>
      <c r="M35" s="12">
        <v>17</v>
      </c>
      <c r="N35" s="45">
        <f t="shared" si="7"/>
        <v>3</v>
      </c>
      <c r="O35" s="7">
        <f t="shared" si="8"/>
        <v>40</v>
      </c>
      <c r="P35" s="7">
        <f t="shared" si="9"/>
        <v>66</v>
      </c>
      <c r="Q35" s="32">
        <f t="shared" si="2"/>
        <v>70</v>
      </c>
      <c r="R35" s="38">
        <f t="shared" si="3"/>
        <v>26</v>
      </c>
      <c r="S35" s="33">
        <f t="shared" si="10"/>
        <v>228</v>
      </c>
    </row>
    <row r="36" spans="2:19" x14ac:dyDescent="0.25">
      <c r="B36" s="12">
        <v>19</v>
      </c>
      <c r="C36" s="44">
        <f>[1]!DiscreteUniform($B$8,$B$12)</f>
        <v>3</v>
      </c>
      <c r="D36" s="7">
        <f t="shared" si="4"/>
        <v>98</v>
      </c>
      <c r="E36" s="7">
        <f t="shared" si="5"/>
        <v>99</v>
      </c>
      <c r="F36" s="32">
        <f t="shared" si="0"/>
        <v>103</v>
      </c>
      <c r="G36" s="38">
        <f t="shared" si="1"/>
        <v>1</v>
      </c>
      <c r="H36" s="33">
        <f t="shared" si="6"/>
        <v>1</v>
      </c>
      <c r="I36" s="1"/>
      <c r="J36" s="1"/>
      <c r="K36" s="1"/>
      <c r="M36" s="12">
        <v>18</v>
      </c>
      <c r="N36" s="45">
        <f t="shared" si="7"/>
        <v>3</v>
      </c>
      <c r="O36" s="7">
        <f t="shared" si="8"/>
        <v>43</v>
      </c>
      <c r="P36" s="7">
        <f t="shared" si="9"/>
        <v>70</v>
      </c>
      <c r="Q36" s="32">
        <f t="shared" si="2"/>
        <v>74</v>
      </c>
      <c r="R36" s="38">
        <f t="shared" si="3"/>
        <v>27</v>
      </c>
      <c r="S36" s="33">
        <f t="shared" si="10"/>
        <v>255</v>
      </c>
    </row>
    <row r="37" spans="2:19" ht="13" thickBot="1" x14ac:dyDescent="0.3">
      <c r="B37" s="13">
        <v>20</v>
      </c>
      <c r="C37" s="46">
        <f>[1]!DiscreteUniform($B$8,$B$12)</f>
        <v>4</v>
      </c>
      <c r="D37" s="47">
        <f t="shared" si="4"/>
        <v>102</v>
      </c>
      <c r="E37" s="47">
        <f t="shared" si="5"/>
        <v>103</v>
      </c>
      <c r="F37" s="48">
        <f t="shared" si="0"/>
        <v>107</v>
      </c>
      <c r="G37" s="49">
        <f t="shared" si="1"/>
        <v>1</v>
      </c>
      <c r="H37" s="34">
        <f t="shared" si="6"/>
        <v>1</v>
      </c>
      <c r="I37" s="1"/>
      <c r="J37" s="1"/>
      <c r="K37" s="1"/>
      <c r="M37" s="12">
        <v>19</v>
      </c>
      <c r="N37" s="45">
        <f t="shared" si="7"/>
        <v>2</v>
      </c>
      <c r="O37" s="7">
        <f t="shared" si="8"/>
        <v>45</v>
      </c>
      <c r="P37" s="7">
        <f t="shared" si="9"/>
        <v>74</v>
      </c>
      <c r="Q37" s="32">
        <f t="shared" si="2"/>
        <v>78</v>
      </c>
      <c r="R37" s="38">
        <f t="shared" si="3"/>
        <v>29</v>
      </c>
      <c r="S37" s="33">
        <f t="shared" si="10"/>
        <v>284</v>
      </c>
    </row>
    <row r="38" spans="2:19" x14ac:dyDescent="0.25">
      <c r="B38" s="1"/>
      <c r="C38" s="1"/>
      <c r="D38" s="1"/>
      <c r="E38" s="1"/>
      <c r="F38" s="1"/>
      <c r="G38" s="1"/>
      <c r="H38" s="1"/>
      <c r="I38" s="1"/>
      <c r="J38" s="1"/>
      <c r="K38" s="1"/>
      <c r="M38" s="12">
        <v>20</v>
      </c>
      <c r="N38" s="45">
        <f t="shared" si="7"/>
        <v>2</v>
      </c>
      <c r="O38" s="7">
        <f t="shared" si="8"/>
        <v>47</v>
      </c>
      <c r="P38" s="7">
        <f t="shared" si="9"/>
        <v>78</v>
      </c>
      <c r="Q38" s="32">
        <f t="shared" si="2"/>
        <v>82</v>
      </c>
      <c r="R38" s="38">
        <f t="shared" si="3"/>
        <v>31</v>
      </c>
      <c r="S38" s="33">
        <f t="shared" si="10"/>
        <v>315</v>
      </c>
    </row>
    <row r="39" spans="2:19" x14ac:dyDescent="0.25">
      <c r="B39" s="1"/>
      <c r="C39" s="1"/>
      <c r="D39" s="1"/>
      <c r="E39" s="1"/>
      <c r="F39" s="1"/>
      <c r="G39" s="1"/>
      <c r="H39" s="1"/>
      <c r="I39" s="1"/>
      <c r="J39" s="1"/>
      <c r="K39" s="1"/>
      <c r="M39" s="12">
        <v>21</v>
      </c>
      <c r="N39" s="45">
        <f t="shared" si="7"/>
        <v>3</v>
      </c>
      <c r="O39" s="7">
        <f t="shared" si="8"/>
        <v>50</v>
      </c>
      <c r="P39" s="7">
        <f t="shared" si="9"/>
        <v>82</v>
      </c>
      <c r="Q39" s="32">
        <f t="shared" si="2"/>
        <v>86</v>
      </c>
      <c r="R39" s="38">
        <f t="shared" si="3"/>
        <v>32</v>
      </c>
      <c r="S39" s="33">
        <f t="shared" si="10"/>
        <v>347</v>
      </c>
    </row>
    <row r="40" spans="2:19" x14ac:dyDescent="0.25">
      <c r="B40" s="1"/>
      <c r="C40" s="1"/>
      <c r="D40" s="1"/>
      <c r="E40" s="1"/>
      <c r="F40" s="1"/>
      <c r="G40" s="1"/>
      <c r="H40" s="1"/>
      <c r="I40" s="1"/>
      <c r="J40" s="1"/>
      <c r="K40" s="1"/>
      <c r="M40" s="12">
        <v>22</v>
      </c>
      <c r="N40" s="45">
        <f t="shared" si="7"/>
        <v>3</v>
      </c>
      <c r="O40" s="7">
        <f t="shared" si="8"/>
        <v>53</v>
      </c>
      <c r="P40" s="7">
        <f t="shared" si="9"/>
        <v>86</v>
      </c>
      <c r="Q40" s="32">
        <f t="shared" si="2"/>
        <v>90</v>
      </c>
      <c r="R40" s="38">
        <f t="shared" si="3"/>
        <v>33</v>
      </c>
      <c r="S40" s="33">
        <f t="shared" si="10"/>
        <v>380</v>
      </c>
    </row>
    <row r="41" spans="2:19" x14ac:dyDescent="0.25">
      <c r="B41" s="1"/>
      <c r="C41" s="1"/>
      <c r="D41" s="1"/>
      <c r="E41" s="1"/>
      <c r="F41" s="1"/>
      <c r="G41" s="1"/>
      <c r="H41" s="1"/>
      <c r="I41" s="1"/>
      <c r="J41" s="1"/>
      <c r="K41" s="1"/>
      <c r="M41" s="12">
        <v>23</v>
      </c>
      <c r="N41" s="45">
        <f t="shared" si="7"/>
        <v>2</v>
      </c>
      <c r="O41" s="7">
        <f t="shared" si="8"/>
        <v>55</v>
      </c>
      <c r="P41" s="7">
        <f t="shared" si="9"/>
        <v>90</v>
      </c>
      <c r="Q41" s="32">
        <f t="shared" si="2"/>
        <v>94</v>
      </c>
      <c r="R41" s="38">
        <f t="shared" si="3"/>
        <v>35</v>
      </c>
      <c r="S41" s="33">
        <f t="shared" si="10"/>
        <v>415</v>
      </c>
    </row>
    <row r="42" spans="2:19" x14ac:dyDescent="0.25">
      <c r="B42" s="1"/>
      <c r="C42" s="1"/>
      <c r="D42" s="1"/>
      <c r="E42" s="1"/>
      <c r="F42" s="1"/>
      <c r="G42" s="1"/>
      <c r="H42" s="1"/>
      <c r="I42" s="1"/>
      <c r="J42" s="1"/>
      <c r="K42" s="1"/>
      <c r="M42" s="12">
        <v>24</v>
      </c>
      <c r="N42" s="45">
        <f t="shared" si="7"/>
        <v>2</v>
      </c>
      <c r="O42" s="7">
        <f t="shared" si="8"/>
        <v>57</v>
      </c>
      <c r="P42" s="7">
        <f t="shared" si="9"/>
        <v>94</v>
      </c>
      <c r="Q42" s="32">
        <f t="shared" si="2"/>
        <v>98</v>
      </c>
      <c r="R42" s="38">
        <f t="shared" si="3"/>
        <v>37</v>
      </c>
      <c r="S42" s="33">
        <f t="shared" si="10"/>
        <v>452</v>
      </c>
    </row>
    <row r="43" spans="2:19" x14ac:dyDescent="0.25">
      <c r="B43" s="1"/>
      <c r="C43" s="1"/>
      <c r="D43" s="1"/>
      <c r="E43" s="1"/>
      <c r="F43" s="1"/>
      <c r="G43" s="1"/>
      <c r="H43" s="1"/>
      <c r="I43" s="1"/>
      <c r="J43" s="1"/>
      <c r="K43" s="1"/>
      <c r="M43" s="12">
        <v>25</v>
      </c>
      <c r="N43" s="45">
        <f t="shared" si="7"/>
        <v>3</v>
      </c>
      <c r="O43" s="7">
        <f t="shared" si="8"/>
        <v>60</v>
      </c>
      <c r="P43" s="7">
        <f t="shared" si="9"/>
        <v>98</v>
      </c>
      <c r="Q43" s="32">
        <f t="shared" si="2"/>
        <v>102</v>
      </c>
      <c r="R43" s="38">
        <f t="shared" si="3"/>
        <v>38</v>
      </c>
      <c r="S43" s="33">
        <f t="shared" si="10"/>
        <v>490</v>
      </c>
    </row>
    <row r="44" spans="2:19" x14ac:dyDescent="0.25">
      <c r="B44" s="1"/>
      <c r="C44" s="1"/>
      <c r="D44" s="1"/>
      <c r="E44" s="1"/>
      <c r="F44" s="1"/>
      <c r="G44" s="1"/>
      <c r="H44" s="1"/>
      <c r="I44" s="1"/>
      <c r="J44" s="1"/>
      <c r="K44" s="1"/>
      <c r="M44" s="12">
        <v>26</v>
      </c>
      <c r="N44" s="45">
        <f t="shared" si="7"/>
        <v>3</v>
      </c>
      <c r="O44" s="7">
        <f t="shared" si="8"/>
        <v>63</v>
      </c>
      <c r="P44" s="7">
        <f t="shared" si="9"/>
        <v>102</v>
      </c>
      <c r="Q44" s="32">
        <f t="shared" si="2"/>
        <v>106</v>
      </c>
      <c r="R44" s="38">
        <f t="shared" si="3"/>
        <v>39</v>
      </c>
      <c r="S44" s="33">
        <f t="shared" si="10"/>
        <v>490</v>
      </c>
    </row>
    <row r="45" spans="2:19" x14ac:dyDescent="0.25">
      <c r="B45" s="1"/>
      <c r="C45" s="1"/>
      <c r="D45" s="1"/>
      <c r="E45" s="1"/>
      <c r="F45" s="1"/>
      <c r="G45" s="1"/>
      <c r="H45" s="1"/>
      <c r="I45" s="1"/>
      <c r="J45" s="1"/>
      <c r="K45" s="1"/>
      <c r="M45" s="12">
        <v>27</v>
      </c>
      <c r="N45" s="45">
        <f t="shared" si="7"/>
        <v>2</v>
      </c>
      <c r="O45" s="7">
        <f t="shared" si="8"/>
        <v>65</v>
      </c>
      <c r="P45" s="7">
        <f t="shared" si="9"/>
        <v>106</v>
      </c>
      <c r="Q45" s="32">
        <f t="shared" si="2"/>
        <v>110</v>
      </c>
      <c r="R45" s="38">
        <f t="shared" si="3"/>
        <v>41</v>
      </c>
      <c r="S45" s="33">
        <f t="shared" si="10"/>
        <v>490</v>
      </c>
    </row>
    <row r="46" spans="2:19" x14ac:dyDescent="0.25">
      <c r="B46" s="1"/>
      <c r="C46" s="1"/>
      <c r="D46" s="1"/>
      <c r="E46" s="1"/>
      <c r="F46" s="1"/>
      <c r="G46" s="1"/>
      <c r="H46" s="1"/>
      <c r="I46" s="1"/>
      <c r="J46" s="1"/>
      <c r="K46" s="1"/>
      <c r="M46" s="12">
        <v>28</v>
      </c>
      <c r="N46" s="45">
        <f t="shared" si="7"/>
        <v>3</v>
      </c>
      <c r="O46" s="7">
        <f t="shared" si="8"/>
        <v>68</v>
      </c>
      <c r="P46" s="7">
        <f t="shared" si="9"/>
        <v>110</v>
      </c>
      <c r="Q46" s="32">
        <f t="shared" si="2"/>
        <v>114</v>
      </c>
      <c r="R46" s="38">
        <f t="shared" si="3"/>
        <v>42</v>
      </c>
      <c r="S46" s="33">
        <f t="shared" si="10"/>
        <v>490</v>
      </c>
    </row>
    <row r="47" spans="2:19" x14ac:dyDescent="0.25">
      <c r="B47" s="1"/>
      <c r="C47" s="1"/>
      <c r="D47" s="1"/>
      <c r="E47" s="1"/>
      <c r="F47" s="1"/>
      <c r="G47" s="1"/>
      <c r="H47" s="1"/>
      <c r="I47" s="1"/>
      <c r="J47" s="1"/>
      <c r="K47" s="1"/>
      <c r="M47" s="12">
        <v>29</v>
      </c>
      <c r="N47" s="45">
        <f t="shared" si="7"/>
        <v>3</v>
      </c>
      <c r="O47" s="7">
        <f t="shared" si="8"/>
        <v>71</v>
      </c>
      <c r="P47" s="7">
        <f t="shared" si="9"/>
        <v>114</v>
      </c>
      <c r="Q47" s="32">
        <f t="shared" si="2"/>
        <v>118</v>
      </c>
      <c r="R47" s="38">
        <f t="shared" si="3"/>
        <v>43</v>
      </c>
      <c r="S47" s="33">
        <f t="shared" si="10"/>
        <v>490</v>
      </c>
    </row>
    <row r="48" spans="2:19" ht="13" thickBot="1" x14ac:dyDescent="0.3">
      <c r="B48" s="1"/>
      <c r="C48" s="1"/>
      <c r="D48" s="1"/>
      <c r="E48" s="1"/>
      <c r="F48" s="1"/>
      <c r="G48" s="1"/>
      <c r="H48" s="1"/>
      <c r="I48" s="1"/>
      <c r="J48" s="1"/>
      <c r="K48" s="1"/>
      <c r="M48" s="13">
        <v>30</v>
      </c>
      <c r="N48" s="46">
        <f t="shared" si="7"/>
        <v>3</v>
      </c>
      <c r="O48" s="47">
        <f t="shared" si="8"/>
        <v>74</v>
      </c>
      <c r="P48" s="47">
        <f t="shared" si="9"/>
        <v>118</v>
      </c>
      <c r="Q48" s="48">
        <f t="shared" si="2"/>
        <v>122</v>
      </c>
      <c r="R48" s="49">
        <f t="shared" si="3"/>
        <v>44</v>
      </c>
      <c r="S48" s="34">
        <f t="shared" si="10"/>
        <v>490</v>
      </c>
    </row>
    <row r="49" spans="2:11" x14ac:dyDescent="0.25"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2:11" x14ac:dyDescent="0.25"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2:11" x14ac:dyDescent="0.25"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2:11" x14ac:dyDescent="0.25"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2:11" x14ac:dyDescent="0.25"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2:11" x14ac:dyDescent="0.25"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2:11" x14ac:dyDescent="0.25"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2:11" x14ac:dyDescent="0.25"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2:11" x14ac:dyDescent="0.25"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2:11" x14ac:dyDescent="0.25"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2:11" x14ac:dyDescent="0.25"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2:11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2:11" x14ac:dyDescent="0.25"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2:11" x14ac:dyDescent="0.25"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2:11" x14ac:dyDescent="0.25"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2:11" x14ac:dyDescent="0.25"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2:11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2:11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2:11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2:11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2:11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2:11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2:11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2:11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2:11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2:11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2:11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2:11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2:11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2:11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2:11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2:11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2:11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2:11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2:11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2:11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2:11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2:11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2:11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2:11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2:11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2:11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2:11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2:11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2:11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2:11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2:11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2:11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2:11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2:11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2:11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2:11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2:11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2:11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2:11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2:11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2:11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2:11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2:11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2:11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2:11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2:11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2:11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2:11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2:11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2:11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2:11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2:11" x14ac:dyDescent="0.25"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2:11" x14ac:dyDescent="0.25"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2:11" x14ac:dyDescent="0.25">
      <c r="D118" s="1"/>
      <c r="E118" s="1"/>
      <c r="F118" s="1"/>
      <c r="G118" s="1"/>
      <c r="H118" s="1"/>
      <c r="I118" s="1"/>
      <c r="J118" s="1"/>
      <c r="K118" s="1"/>
    </row>
  </sheetData>
  <mergeCells count="14">
    <mergeCell ref="J17:K17"/>
    <mergeCell ref="F5:F7"/>
    <mergeCell ref="G5:G7"/>
    <mergeCell ref="H5:H7"/>
    <mergeCell ref="M17:N17"/>
    <mergeCell ref="S1:V4"/>
    <mergeCell ref="F13:H13"/>
    <mergeCell ref="B16:C16"/>
    <mergeCell ref="B2:J2"/>
    <mergeCell ref="B1:J1"/>
    <mergeCell ref="B5:B7"/>
    <mergeCell ref="C5:C7"/>
    <mergeCell ref="D5:D7"/>
    <mergeCell ref="L12:N14"/>
  </mergeCells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Trial_Click">
                <anchor moveWithCells="1" sizeWithCells="1">
                  <from>
                    <xdr:col>10</xdr:col>
                    <xdr:colOff>400050</xdr:colOff>
                    <xdr:row>0</xdr:row>
                    <xdr:rowOff>95250</xdr:rowOff>
                  </from>
                  <to>
                    <xdr:col>12</xdr:col>
                    <xdr:colOff>596900</xdr:colOff>
                    <xdr:row>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Fill="0" autoPict="0" macro="[0]!ResetSeedOneTrial_Click">
                <anchor moveWithCells="1" sizeWithCells="1">
                  <from>
                    <xdr:col>9</xdr:col>
                    <xdr:colOff>31750</xdr:colOff>
                    <xdr:row>12</xdr:row>
                    <xdr:rowOff>0</xdr:rowOff>
                  </from>
                  <to>
                    <xdr:col>10</xdr:col>
                    <xdr:colOff>349250</xdr:colOff>
                    <xdr:row>13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One Trail</vt:lpstr>
      <vt:lpstr>Seed1</vt:lpstr>
    </vt:vector>
  </TitlesOfParts>
  <Company>Brooks-Pri Automation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Carson</dc:creator>
  <cp:lastModifiedBy>risin</cp:lastModifiedBy>
  <dcterms:created xsi:type="dcterms:W3CDTF">2003-12-17T21:30:37Z</dcterms:created>
  <dcterms:modified xsi:type="dcterms:W3CDTF">2018-02-12T05:26:11Z</dcterms:modified>
</cp:coreProperties>
</file>